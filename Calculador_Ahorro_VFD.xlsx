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lectricaab-my.sharepoint.com/personal/jose_chavez_grupoabsa_com/Documents/Documentos/Documentos EAB/Business Leader Power_FY-2025/Low Voltage/Drives/Iniciativas Drives/Ahorro de Energía/"/>
    </mc:Choice>
  </mc:AlternateContent>
  <xr:revisionPtr revIDLastSave="17" documentId="8_{38BD1887-B044-4B8C-999B-4AFA25CA083B}" xr6:coauthVersionLast="47" xr6:coauthVersionMax="47" xr10:uidLastSave="{C405825C-2564-4A8A-85D5-3FE1C027FDFE}"/>
  <bookViews>
    <workbookView xWindow="28680" yWindow="-120" windowWidth="29040" windowHeight="15840" xr2:uid="{C60599FE-2196-48B1-AB52-A8B3B51DF56A}"/>
  </bookViews>
  <sheets>
    <sheet name="Con Perfil de Carg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D20" i="2"/>
  <c r="G4" i="2"/>
  <c r="E12" i="2" s="1"/>
  <c r="J4" i="2" l="1"/>
  <c r="K4" i="2" s="1"/>
  <c r="E14" i="2"/>
  <c r="E13" i="2"/>
  <c r="E10" i="2"/>
  <c r="E11" i="2"/>
  <c r="E16" i="2"/>
  <c r="E15" i="2"/>
  <c r="H4" i="2"/>
  <c r="E18" i="2"/>
  <c r="E17" i="2"/>
  <c r="E19" i="2"/>
  <c r="E20" i="2" l="1"/>
  <c r="I4" i="2"/>
  <c r="L4" i="2"/>
  <c r="M4" i="2" s="1"/>
  <c r="N4" i="2" s="1"/>
</calcChain>
</file>

<file path=xl/sharedStrings.xml><?xml version="1.0" encoding="utf-8"?>
<sst xmlns="http://schemas.openxmlformats.org/spreadsheetml/2006/main" count="27" uniqueCount="25">
  <si>
    <t>HP</t>
  </si>
  <si>
    <t>VOLTAJE</t>
  </si>
  <si>
    <t>KW</t>
  </si>
  <si>
    <t>CONSUMO (KW/HR)</t>
  </si>
  <si>
    <t>CONSUMO ENERGIA (USD)</t>
  </si>
  <si>
    <t>CANTIDAD MOTORES</t>
  </si>
  <si>
    <t>Horas x Año</t>
  </si>
  <si>
    <t>A Tensión Plena</t>
  </si>
  <si>
    <t>AHORRO (USD)</t>
  </si>
  <si>
    <t>Años</t>
  </si>
  <si>
    <t>ROI (Años)</t>
  </si>
  <si>
    <t>Con Variador de Frecuencia</t>
  </si>
  <si>
    <t>Datos Bomba Centrífuga</t>
  </si>
  <si>
    <t>Resultados de Ahorros</t>
  </si>
  <si>
    <t>EFICIENCIA
(%)</t>
  </si>
  <si>
    <t>AHORRO (KW/HR)</t>
  </si>
  <si>
    <t>Ciclo de Operación</t>
  </si>
  <si>
    <t>Tiempo (%)</t>
  </si>
  <si>
    <t>Flujo (%)</t>
  </si>
  <si>
    <t>Total :</t>
  </si>
  <si>
    <t>Calculadora con Ciclo de Operación</t>
  </si>
  <si>
    <t>CONSUMO
(KW/Hr)</t>
  </si>
  <si>
    <r>
      <t xml:space="preserve">Datos a Llenar 
</t>
    </r>
    <r>
      <rPr>
        <b/>
        <sz val="10"/>
        <color rgb="FFFFFF00"/>
        <rFont val="Aptos Narrow"/>
        <family val="2"/>
        <scheme val="minor"/>
      </rPr>
      <t>(Celdas Color Amarillo)</t>
    </r>
  </si>
  <si>
    <t>Costo KW/Hr (USD)</t>
  </si>
  <si>
    <t>Inversión: Drive + Instalación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</si>
</sst>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0"/>
      <color rgb="FFFFFF00"/>
      <name val="Aptos Narrow"/>
      <family val="2"/>
      <scheme val="minor"/>
    </font>
    <font>
      <b/>
      <sz val="10"/>
      <color rgb="FFC00000"/>
      <name val="Aptos Narrow"/>
      <family val="2"/>
      <scheme val="minor"/>
    </font>
    <font>
      <b/>
      <sz val="10"/>
      <color theme="3" tint="0.249977111117893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7E1F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9ADE3"/>
        <bgColor indexed="64"/>
      </patternFill>
    </fill>
    <fill>
      <patternFill patternType="solid">
        <fgColor theme="2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/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43" fontId="3" fillId="3" borderId="2" xfId="1" applyFont="1" applyFill="1" applyBorder="1" applyAlignment="1">
      <alignment horizontal="center" vertical="center"/>
    </xf>
    <xf numFmtId="43" fontId="3" fillId="5" borderId="2" xfId="0" applyNumberFormat="1" applyFont="1" applyFill="1" applyBorder="1" applyAlignment="1">
      <alignment horizontal="center" vertical="center"/>
    </xf>
    <xf numFmtId="43" fontId="3" fillId="5" borderId="2" xfId="0" applyNumberFormat="1" applyFont="1" applyFill="1" applyBorder="1" applyAlignment="1">
      <alignment vertical="center"/>
    </xf>
    <xf numFmtId="2" fontId="3" fillId="4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9" fontId="3" fillId="2" borderId="2" xfId="3" applyFont="1" applyFill="1" applyBorder="1" applyAlignment="1">
      <alignment horizontal="center" vertical="center"/>
    </xf>
    <xf numFmtId="43" fontId="3" fillId="7" borderId="2" xfId="1" applyFont="1" applyFill="1" applyBorder="1" applyAlignment="1">
      <alignment horizontal="center" vertical="center"/>
    </xf>
    <xf numFmtId="43" fontId="3" fillId="3" borderId="7" xfId="1" applyFont="1" applyFill="1" applyBorder="1" applyAlignment="1">
      <alignment horizontal="center" vertical="center"/>
    </xf>
    <xf numFmtId="43" fontId="3" fillId="3" borderId="8" xfId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3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3" fillId="0" borderId="0" xfId="0" applyNumberFormat="1" applyFont="1" applyAlignment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6" fillId="5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9" fontId="3" fillId="2" borderId="6" xfId="3" applyFont="1" applyFill="1" applyBorder="1" applyAlignment="1">
      <alignment horizontal="center" vertical="center"/>
    </xf>
    <xf numFmtId="9" fontId="3" fillId="2" borderId="7" xfId="3" applyFont="1" applyFill="1" applyBorder="1" applyAlignment="1">
      <alignment horizontal="center" vertical="center"/>
    </xf>
    <xf numFmtId="44" fontId="3" fillId="2" borderId="1" xfId="2" applyFont="1" applyFill="1" applyBorder="1" applyAlignment="1">
      <alignment horizontal="center" vertical="center"/>
    </xf>
    <xf numFmtId="44" fontId="3" fillId="0" borderId="0" xfId="2" applyFont="1" applyFill="1" applyBorder="1" applyAlignment="1">
      <alignment horizontal="center" vertical="center"/>
    </xf>
    <xf numFmtId="9" fontId="3" fillId="2" borderId="8" xfId="3" applyFont="1" applyFill="1" applyBorder="1" applyAlignment="1">
      <alignment horizontal="center" vertical="center"/>
    </xf>
    <xf numFmtId="9" fontId="4" fillId="0" borderId="1" xfId="3" applyFont="1" applyBorder="1" applyAlignment="1">
      <alignment horizontal="center" vertical="center"/>
    </xf>
    <xf numFmtId="43" fontId="2" fillId="8" borderId="1" xfId="0" applyNumberFormat="1" applyFont="1" applyFill="1" applyBorder="1" applyAlignment="1">
      <alignment horizontal="center" vertical="center"/>
    </xf>
    <xf numFmtId="9" fontId="7" fillId="0" borderId="0" xfId="3" applyFont="1" applyAlignment="1">
      <alignment horizontal="center" vertical="center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7E1F5"/>
      <color rgb="FFE9ADE3"/>
      <color rgb="FFE7A7E1"/>
      <color rgb="FFEEF5FC"/>
      <color rgb="FFE6F0FA"/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12C76-4AD7-47F6-9545-382CB7C61659}">
  <dimension ref="A1:N21"/>
  <sheetViews>
    <sheetView tabSelected="1" workbookViewId="0">
      <selection activeCell="I22" sqref="I22"/>
    </sheetView>
  </sheetViews>
  <sheetFormatPr baseColWidth="10" defaultRowHeight="13.8" x14ac:dyDescent="0.3"/>
  <cols>
    <col min="1" max="1" width="29.109375" style="1" customWidth="1"/>
    <col min="2" max="2" width="6.6640625" style="1" customWidth="1"/>
    <col min="3" max="7" width="11.5546875" style="13"/>
    <col min="8" max="8" width="14.44140625" style="13" customWidth="1"/>
    <col min="9" max="9" width="14.44140625" style="1" customWidth="1"/>
    <col min="10" max="11" width="14.44140625" style="13" customWidth="1"/>
    <col min="12" max="12" width="14.5546875" style="13" customWidth="1"/>
    <col min="13" max="13" width="14.5546875" style="1" customWidth="1"/>
    <col min="14" max="14" width="12.44140625" style="1" customWidth="1"/>
    <col min="15" max="16384" width="11.5546875" style="1"/>
  </cols>
  <sheetData>
    <row r="1" spans="1:14" ht="20.399999999999999" customHeight="1" x14ac:dyDescent="0.3">
      <c r="C1" s="17" t="s">
        <v>20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ht="20.399999999999999" customHeight="1" x14ac:dyDescent="0.3">
      <c r="C2" s="20" t="s">
        <v>12</v>
      </c>
      <c r="D2" s="21"/>
      <c r="E2" s="21"/>
      <c r="F2" s="21"/>
      <c r="G2" s="22"/>
      <c r="H2" s="23" t="s">
        <v>7</v>
      </c>
      <c r="I2" s="23"/>
      <c r="J2" s="24" t="s">
        <v>11</v>
      </c>
      <c r="K2" s="24"/>
      <c r="L2" s="25" t="s">
        <v>13</v>
      </c>
      <c r="M2" s="26"/>
      <c r="N2" s="27"/>
    </row>
    <row r="3" spans="1:14" ht="27.6" x14ac:dyDescent="0.3">
      <c r="C3" s="2" t="s">
        <v>5</v>
      </c>
      <c r="D3" s="2" t="s">
        <v>0</v>
      </c>
      <c r="E3" s="2" t="s">
        <v>14</v>
      </c>
      <c r="F3" s="2" t="s">
        <v>1</v>
      </c>
      <c r="G3" s="2" t="s">
        <v>2</v>
      </c>
      <c r="H3" s="2" t="s">
        <v>3</v>
      </c>
      <c r="I3" s="2" t="s">
        <v>4</v>
      </c>
      <c r="J3" s="2" t="s">
        <v>3</v>
      </c>
      <c r="K3" s="2" t="s">
        <v>4</v>
      </c>
      <c r="L3" s="2" t="s">
        <v>15</v>
      </c>
      <c r="M3" s="2" t="s">
        <v>8</v>
      </c>
      <c r="N3" s="3" t="s">
        <v>10</v>
      </c>
    </row>
    <row r="4" spans="1:14" ht="27.6" x14ac:dyDescent="0.3">
      <c r="A4" s="28" t="s">
        <v>22</v>
      </c>
      <c r="B4" s="29"/>
      <c r="C4" s="8">
        <v>1</v>
      </c>
      <c r="D4" s="8">
        <v>100</v>
      </c>
      <c r="E4" s="9">
        <v>1</v>
      </c>
      <c r="F4" s="8">
        <v>460</v>
      </c>
      <c r="G4" s="7">
        <f>D$4*0.746/E$4</f>
        <v>74.599999999999994</v>
      </c>
      <c r="H4" s="10">
        <f>A$8*C$4*G$4</f>
        <v>373000</v>
      </c>
      <c r="I4" s="10">
        <f>A$10*H$4</f>
        <v>44760</v>
      </c>
      <c r="J4" s="4">
        <f>(POWER(C10,3)*A$8*C4*D10*G4)+(POWER(C11,3)*A$8*C4*D11*G4)+(POWER(C12,3)*A$8*C4*D12*G4)+(POWER(C13,3)*A$8*C4*D13*G4)+(POWER(C14,3)*A$8*C4*D14*G4)+(POWER(C15,3)*A$8*C4*D15*G4)+(POWER(C16,3)*A$8*C4*D16*G4)+(POWER(C17,3)*A$8*C4*D17*G4)+(POWER(C18,3)*A$8*C4*D18*G4)+(POWER(C19,3)*A$8*C4*D19*G4)</f>
        <v>168894.40000000002</v>
      </c>
      <c r="K4" s="4">
        <f>A$10*J$4</f>
        <v>20267.328000000001</v>
      </c>
      <c r="L4" s="5">
        <f>H$4-J$4</f>
        <v>204105.59999999998</v>
      </c>
      <c r="M4" s="6">
        <f>A$10*L$4</f>
        <v>24492.671999999995</v>
      </c>
      <c r="N4" s="30">
        <f>(A$12/M$4)</f>
        <v>0.65325661487648234</v>
      </c>
    </row>
    <row r="5" spans="1:14" x14ac:dyDescent="0.3">
      <c r="A5" s="31" t="s">
        <v>9</v>
      </c>
      <c r="B5" s="32"/>
      <c r="J5" s="33"/>
      <c r="M5" s="16"/>
    </row>
    <row r="6" spans="1:14" x14ac:dyDescent="0.3">
      <c r="A6" s="34">
        <f>A8/8760</f>
        <v>0.57077625570776258</v>
      </c>
      <c r="B6" s="35"/>
      <c r="J6" s="15"/>
    </row>
    <row r="7" spans="1:14" x14ac:dyDescent="0.3">
      <c r="A7" s="31" t="s">
        <v>6</v>
      </c>
      <c r="B7" s="32"/>
    </row>
    <row r="8" spans="1:14" x14ac:dyDescent="0.3">
      <c r="A8" s="36">
        <v>5000</v>
      </c>
      <c r="B8" s="13"/>
      <c r="C8" s="37" t="s">
        <v>16</v>
      </c>
      <c r="D8" s="37"/>
      <c r="E8" s="38" t="s">
        <v>21</v>
      </c>
    </row>
    <row r="9" spans="1:14" x14ac:dyDescent="0.3">
      <c r="A9" s="31" t="s">
        <v>23</v>
      </c>
      <c r="B9" s="32"/>
      <c r="C9" s="39" t="s">
        <v>18</v>
      </c>
      <c r="D9" s="39" t="s">
        <v>17</v>
      </c>
      <c r="E9" s="40"/>
    </row>
    <row r="10" spans="1:14" x14ac:dyDescent="0.3">
      <c r="A10" s="36">
        <v>0.12</v>
      </c>
      <c r="B10" s="13"/>
      <c r="C10" s="41">
        <v>1</v>
      </c>
      <c r="D10" s="41">
        <v>0</v>
      </c>
      <c r="E10" s="11">
        <f>POWER(C10,3)*A8*C4*D10*G4</f>
        <v>0</v>
      </c>
    </row>
    <row r="11" spans="1:14" x14ac:dyDescent="0.3">
      <c r="A11" s="31" t="s">
        <v>24</v>
      </c>
      <c r="B11" s="32"/>
      <c r="C11" s="42">
        <v>0.9</v>
      </c>
      <c r="D11" s="42">
        <v>0</v>
      </c>
      <c r="E11" s="11">
        <f>POWER(C11,3)*A8*C4*D11*G4</f>
        <v>0</v>
      </c>
    </row>
    <row r="12" spans="1:14" x14ac:dyDescent="0.3">
      <c r="A12" s="43">
        <v>16000</v>
      </c>
      <c r="B12" s="14"/>
      <c r="C12" s="42">
        <v>0.8</v>
      </c>
      <c r="D12" s="42">
        <v>0.8</v>
      </c>
      <c r="E12" s="11">
        <f>POWER(C12,3)*A8*C4*D12*G4</f>
        <v>152780.80000000002</v>
      </c>
    </row>
    <row r="13" spans="1:14" x14ac:dyDescent="0.3">
      <c r="B13" s="32"/>
      <c r="C13" s="42">
        <v>0.7</v>
      </c>
      <c r="D13" s="42">
        <v>0</v>
      </c>
      <c r="E13" s="11">
        <f>POWER(C13,3)*A8*C4*D13*G4</f>
        <v>0</v>
      </c>
    </row>
    <row r="14" spans="1:14" x14ac:dyDescent="0.3">
      <c r="B14" s="44"/>
      <c r="C14" s="42">
        <v>0.6</v>
      </c>
      <c r="D14" s="42">
        <v>0.2</v>
      </c>
      <c r="E14" s="11">
        <f>POWER(C14,3)*A8*C4*D14*G4</f>
        <v>16113.599999999999</v>
      </c>
    </row>
    <row r="15" spans="1:14" x14ac:dyDescent="0.3">
      <c r="C15" s="42">
        <v>0.5</v>
      </c>
      <c r="D15" s="42">
        <v>0</v>
      </c>
      <c r="E15" s="11">
        <f>POWER(C15,3)*A8*C4*D15*G4</f>
        <v>0</v>
      </c>
    </row>
    <row r="16" spans="1:14" x14ac:dyDescent="0.3">
      <c r="C16" s="42">
        <v>0.4</v>
      </c>
      <c r="D16" s="42">
        <v>0</v>
      </c>
      <c r="E16" s="11">
        <f>POWER(C16,3)*A8*C4*D16*G4</f>
        <v>0</v>
      </c>
    </row>
    <row r="17" spans="3:5" x14ac:dyDescent="0.3">
      <c r="C17" s="42">
        <v>0.3</v>
      </c>
      <c r="D17" s="42">
        <v>0</v>
      </c>
      <c r="E17" s="11">
        <f>POWER(C17,3)*A8*C4*D17*G4</f>
        <v>0</v>
      </c>
    </row>
    <row r="18" spans="3:5" x14ac:dyDescent="0.3">
      <c r="C18" s="42">
        <v>0.2</v>
      </c>
      <c r="D18" s="42">
        <v>0</v>
      </c>
      <c r="E18" s="11">
        <f>POWER(C18,3)*A8*C4*D18*G4</f>
        <v>0</v>
      </c>
    </row>
    <row r="19" spans="3:5" x14ac:dyDescent="0.3">
      <c r="C19" s="45">
        <v>0.1</v>
      </c>
      <c r="D19" s="45">
        <v>0</v>
      </c>
      <c r="E19" s="12">
        <f>POWER(C19,3)*A8*C4*D19*G4</f>
        <v>0</v>
      </c>
    </row>
    <row r="20" spans="3:5" x14ac:dyDescent="0.3">
      <c r="C20" s="39" t="s">
        <v>19</v>
      </c>
      <c r="D20" s="46">
        <f>SUM(D10:D19)</f>
        <v>1</v>
      </c>
      <c r="E20" s="47">
        <f>SUM(E10:E19)</f>
        <v>168894.40000000002</v>
      </c>
    </row>
    <row r="21" spans="3:5" x14ac:dyDescent="0.3">
      <c r="D21" s="48"/>
    </row>
  </sheetData>
  <mergeCells count="7">
    <mergeCell ref="E8:E9"/>
    <mergeCell ref="C1:N1"/>
    <mergeCell ref="C8:D8"/>
    <mergeCell ref="C2:G2"/>
    <mergeCell ref="H2:I2"/>
    <mergeCell ref="J2:K2"/>
    <mergeCell ref="L2:N2"/>
  </mergeCells>
  <conditionalFormatting sqref="D20">
    <cfRule type="cellIs" dxfId="1" priority="1" operator="equal">
      <formula>1</formula>
    </cfRule>
  </conditionalFormatting>
  <conditionalFormatting sqref="D20:D21">
    <cfRule type="cellIs" dxfId="0" priority="2" operator="equal">
      <formula>100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 Perfil de 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Gpe. Chávez Corrales</dc:creator>
  <cp:lastModifiedBy>José Gpe. Chávez Corrales</cp:lastModifiedBy>
  <dcterms:created xsi:type="dcterms:W3CDTF">2025-12-11T23:26:39Z</dcterms:created>
  <dcterms:modified xsi:type="dcterms:W3CDTF">2025-12-16T23:14:59Z</dcterms:modified>
</cp:coreProperties>
</file>